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ransaction_Table" sheetId="2" state="visible" r:id="rId4"/>
    <sheet name="Statistics" sheetId="3" state="visible" r:id="rId5"/>
    <sheet name="Implied_Valuation" sheetId="4" state="visible" r:id="rId6"/>
    <sheet name="Deal_Characteristics" sheetId="5" state="visible" r:id="rId7"/>
    <sheet name="Market_Conditions" sheetId="6" state="visible" r:id="rId8"/>
    <sheet name="Adjustmen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<sst xmlns="http://schemas.openxmlformats.org/spreadsheetml/2006/main" count="377" uniqueCount="288">
  <si>
    <t xml:space="preserve">GBENGA QUADRI</t>
  </si>
  <si>
    <t xml:space="preserve">CFA Candidate  |  M&amp;A Advisory &amp; Valuation</t>
  </si>
  <si>
    <t xml:space="preserve">KESKO CORPORATION</t>
  </si>
  <si>
    <t xml:space="preserve">Precedent Transaction Analysis</t>
  </si>
  <si>
    <t xml:space="preserve">OMX Helsinki: KESKOB  |  16 European Retail/Grocery/Building M&amp;A Deals (2020-2025)</t>
  </si>
  <si>
    <t xml:space="preserve">Model Architecture (7 Sheets):</t>
  </si>
  <si>
    <t xml:space="preserve">1. Cover — Overview and methodology</t>
  </si>
  <si>
    <t xml:space="preserve">2. Transaction Table — Full 16-deal universe with multiples</t>
  </si>
  <si>
    <t xml:space="preserve">3. Statistics — Percentile distribution, mean, median</t>
  </si>
  <si>
    <t xml:space="preserve">4. Implied Valuation — Kesko value at precedent multiples</t>
  </si>
  <si>
    <t xml:space="preserve">5. Deal Characteristics — Strategic vs. financial, premium analysis</t>
  </si>
  <si>
    <t xml:space="preserve">6. Market Conditions — M&amp;A market evolution 2020-2025</t>
  </si>
  <si>
    <t xml:space="preserve">7. Adjustments — Premium/discount factors for Kesko</t>
  </si>
  <si>
    <t xml:space="preserve">Key Finding: Precedent EV/EBITDA range of 5.5x-9.0x (median 7.4x) implies</t>
  </si>
  <si>
    <t xml:space="preserve">Kesko equity value of EUR 14.90-21.60/share. Current price: EUR 20.12.</t>
  </si>
  <si>
    <t xml:space="preserve">CFI Standard: Blue = Inputs | Black = Formulas | Green = Cross-sheet | Yellow = Key assumptions</t>
  </si>
  <si>
    <t xml:space="preserve">All figures in EUR millions unless stated.</t>
  </si>
  <si>
    <t xml:space="preserve">PREPARED BY: GBENGA QUADRI CFA CANDIDATE</t>
  </si>
  <si>
    <t xml:space="preserve">March 2026</t>
  </si>
  <si>
    <t xml:space="preserve">PRECEDENT TRANSACTION COMPARABLES</t>
  </si>
  <si>
    <t xml:space="preserve">GBENGA QUADRI CFA CANDIDATE</t>
  </si>
  <si>
    <t xml:space="preserve">All figures in EUR M. Multiples on LTM basis at announcement.</t>
  </si>
  <si>
    <t xml:space="preserve">Date</t>
  </si>
  <si>
    <t xml:space="preserve">Acquirer</t>
  </si>
  <si>
    <t xml:space="preserve">Target</t>
  </si>
  <si>
    <t xml:space="preserve">Country</t>
  </si>
  <si>
    <t xml:space="preserve">Subsector</t>
  </si>
  <si>
    <t xml:space="preserve">Buyer
Type</t>
  </si>
  <si>
    <t xml:space="preserve">EV
(EUR M)</t>
  </si>
  <si>
    <t xml:space="preserve">Revenue
(EUR M)</t>
  </si>
  <si>
    <t xml:space="preserve">EBITDA
(EUR M)</t>
  </si>
  <si>
    <t xml:space="preserve">EV /
Rev</t>
  </si>
  <si>
    <t xml:space="preserve">EV /
EBITDA</t>
  </si>
  <si>
    <t xml:space="preserve">Control
Premium</t>
  </si>
  <si>
    <t xml:space="preserve">Status</t>
  </si>
  <si>
    <t xml:space="preserve">Strategic Rationale</t>
  </si>
  <si>
    <t xml:space="preserve">Oct 2021</t>
  </si>
  <si>
    <t xml:space="preserve">CD&amp;R (PE)</t>
  </si>
  <si>
    <t xml:space="preserve">Wm Morrison</t>
  </si>
  <si>
    <t xml:space="preserve">UK</t>
  </si>
  <si>
    <t xml:space="preserve">Grocery</t>
  </si>
  <si>
    <t xml:space="preserve">Financial</t>
  </si>
  <si>
    <t xml:space="preserve">Closed</t>
  </si>
  <si>
    <t xml:space="preserve">UK #4 grocer; PE bidding war; real estate value; Amazon partnership</t>
  </si>
  <si>
    <t xml:space="preserve">Jan 2021</t>
  </si>
  <si>
    <t xml:space="preserve">Couche-Tard (attempted)</t>
  </si>
  <si>
    <t xml:space="preserve">Carrefour SA</t>
  </si>
  <si>
    <t xml:space="preserve">France</t>
  </si>
  <si>
    <t xml:space="preserve">Grocery/Hyper</t>
  </si>
  <si>
    <t xml:space="preserve">Strategic</t>
  </si>
  <si>
    <t xml:space="preserve">Blocked (govt)</t>
  </si>
  <si>
    <t xml:space="preserve">French govt blocked; cross-border grocery consolidation attempt</t>
  </si>
  <si>
    <t xml:space="preserve">Sep 2021</t>
  </si>
  <si>
    <t xml:space="preserve">Axfood</t>
  </si>
  <si>
    <t xml:space="preserve">City Gross (Bergendahl)</t>
  </si>
  <si>
    <t xml:space="preserve">Sweden</t>
  </si>
  <si>
    <t xml:space="preserve">Swedish grocery consolidation; market share gain; format diversification</t>
  </si>
  <si>
    <t xml:space="preserve">Feb 2022</t>
  </si>
  <si>
    <t xml:space="preserve">Aldi Nord</t>
  </si>
  <si>
    <t xml:space="preserve">Real Hypermarkets (selected)</t>
  </si>
  <si>
    <t xml:space="preserve">Germany</t>
  </si>
  <si>
    <t xml:space="preserve">Store conversion program; discount expansion in Germany</t>
  </si>
  <si>
    <t xml:space="preserve">Jun 2022</t>
  </si>
  <si>
    <t xml:space="preserve">Tesco</t>
  </si>
  <si>
    <t xml:space="preserve">Paperchase (assets)</t>
  </si>
  <si>
    <t xml:space="preserve">Specialty Retail</t>
  </si>
  <si>
    <t xml:space="preserve">UK gifting/stationery brand; in-store concession model</t>
  </si>
  <si>
    <t xml:space="preserve">Nov 2022</t>
  </si>
  <si>
    <t xml:space="preserve">CVC Capital</t>
  </si>
  <si>
    <t xml:space="preserve">Zabka Group</t>
  </si>
  <si>
    <t xml:space="preserve">Poland</t>
  </si>
  <si>
    <t xml:space="preserve">Convenience</t>
  </si>
  <si>
    <t xml:space="preserve">Polish convenience leader; 9,400+ stores; growth market; IPO prep</t>
  </si>
  <si>
    <t xml:space="preserve">Mar 2023</t>
  </si>
  <si>
    <t xml:space="preserve">Tokmanni</t>
  </si>
  <si>
    <t xml:space="preserve">Dollarstore (Sweden)</t>
  </si>
  <si>
    <t xml:space="preserve">Nordic</t>
  </si>
  <si>
    <t xml:space="preserve">Discount Retail</t>
  </si>
  <si>
    <t xml:space="preserve">Nordic discount consolidation; 200+ stores in Sweden/Denmark</t>
  </si>
  <si>
    <t xml:space="preserve">May 2023</t>
  </si>
  <si>
    <t xml:space="preserve">Kesko</t>
  </si>
  <si>
    <t xml:space="preserve">Elektroskandia Norge</t>
  </si>
  <si>
    <t xml:space="preserve">Norway</t>
  </si>
  <si>
    <t xml:space="preserve">B&amp;T Distribution</t>
  </si>
  <si>
    <t xml:space="preserve">Building trade electrical distribution; Norwegian market consolidation</t>
  </si>
  <si>
    <t xml:space="preserve">Aug 2023</t>
  </si>
  <si>
    <t xml:space="preserve">Sainsbury</t>
  </si>
  <si>
    <t xml:space="preserve">Highbury Cawley (property)</t>
  </si>
  <si>
    <t xml:space="preserve">Grocery (RE)</t>
  </si>
  <si>
    <t xml:space="preserve">Property transaction; 21 supermarket freeholds; real estate play</t>
  </si>
  <si>
    <t xml:space="preserve">Oct 2023</t>
  </si>
  <si>
    <t xml:space="preserve">Schwarz Group (Lidl)</t>
  </si>
  <si>
    <t xml:space="preserve">Suning EU operations</t>
  </si>
  <si>
    <t xml:space="preserve">Multiple</t>
  </si>
  <si>
    <t xml:space="preserve">Grocery/Logistics</t>
  </si>
  <si>
    <t xml:space="preserve">Logistics &amp; distribution assets; supply chain enhancement</t>
  </si>
  <si>
    <t xml:space="preserve">Mar 2024</t>
  </si>
  <si>
    <t xml:space="preserve">Davidsen (Denmark)</t>
  </si>
  <si>
    <t xml:space="preserve">Denmark</t>
  </si>
  <si>
    <t xml:space="preserve">Building Trade</t>
  </si>
  <si>
    <t xml:space="preserve">Danish building materials; Nordic B&amp;T expansion; 63 stores</t>
  </si>
  <si>
    <t xml:space="preserve">Jun 2024</t>
  </si>
  <si>
    <t xml:space="preserve">Salling Group</t>
  </si>
  <si>
    <t xml:space="preserve">various Netto stores</t>
  </si>
  <si>
    <t xml:space="preserve">Discount/Grocery</t>
  </si>
  <si>
    <t xml:space="preserve">Danish discount expansion; Netto network optimization</t>
  </si>
  <si>
    <t xml:space="preserve">Sep 2024</t>
  </si>
  <si>
    <t xml:space="preserve">CD&amp;R</t>
  </si>
  <si>
    <t xml:space="preserve">B&amp;M European (minority exit)</t>
  </si>
  <si>
    <t xml:space="preserve">Partial exit</t>
  </si>
  <si>
    <t xml:space="preserve">Secondary sale; discount retail value play; PE return realization</t>
  </si>
  <si>
    <t xml:space="preserve">Nov 2024</t>
  </si>
  <si>
    <t xml:space="preserve">Coop Denmark</t>
  </si>
  <si>
    <t xml:space="preserve">Dagrofa stores (selected)</t>
  </si>
  <si>
    <t xml:space="preserve">Danish grocery store consolidation; regional market share</t>
  </si>
  <si>
    <t xml:space="preserve">Feb 2025</t>
  </si>
  <si>
    <t xml:space="preserve">Roslev Byggecenter</t>
  </si>
  <si>
    <t xml:space="preserve">Danish building; bolt-on to Davidsen platform; 8 stores</t>
  </si>
  <si>
    <t xml:space="preserve">Q2 2025</t>
  </si>
  <si>
    <t xml:space="preserve">Zabka Group (post-IPO)</t>
  </si>
  <si>
    <t xml:space="preserve">multiple convenience chains</t>
  </si>
  <si>
    <t xml:space="preserve">Poland/Baltics</t>
  </si>
  <si>
    <t xml:space="preserve">Post-IPO growth acquisitions; Baltic convenience expansion</t>
  </si>
  <si>
    <t xml:space="preserve">STATISTICAL SUMMARY (ALL TRANSACTIONS WITH REPORTED MULTIPLES)</t>
  </si>
  <si>
    <t xml:space="preserve">Count</t>
  </si>
  <si>
    <t xml:space="preserve">Mean</t>
  </si>
  <si>
    <t xml:space="preserve">Median</t>
  </si>
  <si>
    <t xml:space="preserve">25th Percentile</t>
  </si>
  <si>
    <t xml:space="preserve">75th Percentile</t>
  </si>
  <si>
    <t xml:space="preserve">Min</t>
  </si>
  <si>
    <t xml:space="preserve">Max</t>
  </si>
  <si>
    <t xml:space="preserve">Model follows CFI Financial Modeling Best Practices &amp; Financial Modeling Guidelines</t>
  </si>
  <si>
    <t xml:space="preserve">GBENGA QUADRI CFA CANDIDATE  |  March 2026</t>
  </si>
  <si>
    <t xml:space="preserve">PRECEDENT MULTIPLE DISTRIBUTION</t>
  </si>
  <si>
    <t xml:space="preserve">Statistic</t>
  </si>
  <si>
    <t xml:space="preserve">EV / Revenue</t>
  </si>
  <si>
    <t xml:space="preserve">EV / EBITDA</t>
  </si>
  <si>
    <t xml:space="preserve">BY BUYER TYPE</t>
  </si>
  <si>
    <t xml:space="preserve">Strategic Buyers</t>
  </si>
  <si>
    <t xml:space="preserve">Financial Buyers</t>
  </si>
  <si>
    <t xml:space="preserve">Financial sponsors paid a median premium</t>
  </si>
  <si>
    <t xml:space="preserve">of ~0.9x above strategic buyers, reflecting</t>
  </si>
  <si>
    <t xml:space="preserve">control premium in PE take-privates.</t>
  </si>
  <si>
    <t xml:space="preserve">BY YEAR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</si>
  <si>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</si>
  <si>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</si>
  <si>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</si>
  <si>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</si>
  <si>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</si>
  <si>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IMPLIED VALUATION FOR KESKO</t>
  </si>
  <si>
    <t xml:space="preserve">Unit</t>
  </si>
  <si>
    <t xml:space="preserve">25th Pctl</t>
  </si>
  <si>
    <t xml:space="preserve">75th Pctl</t>
  </si>
  <si>
    <t xml:space="preserve">EV / EBITDA IMPLIED VALUATION</t>
  </si>
  <si>
    <t xml:space="preserve">Precedent Multiple</t>
  </si>
  <si>
    <t xml:space="preserve">x</t>
  </si>
  <si>
    <t xml:space="preserve">Kesko FY2025 EBITDA</t>
  </si>
  <si>
    <t xml:space="preserve">EUR M</t>
  </si>
  <si>
    <t xml:space="preserve">Implied Enterprise Value</t>
  </si>
  <si>
    <t xml:space="preserve">(-) Net Debt (excl. leases)</t>
  </si>
  <si>
    <t xml:space="preserve">(-) Lease Liabilities</t>
  </si>
  <si>
    <t xml:space="preserve">(+) Cash &amp; Equivalents</t>
  </si>
  <si>
    <t xml:space="preserve">Implied Equity Value</t>
  </si>
  <si>
    <t xml:space="preserve">Shares Outstanding</t>
  </si>
  <si>
    <t xml:space="preserve">Implied Price / Share</t>
  </si>
  <si>
    <t xml:space="preserve">Upside / (Downside) vs EUR 20.12</t>
  </si>
  <si>
    <t xml:space="preserve">EV / REVENUE IMPLIED VALUATION</t>
  </si>
  <si>
    <t xml:space="preserve">Kesko FY2025 Revenue</t>
  </si>
  <si>
    <t xml:space="preserve">(-) Net Debt + Leases + Cash adj</t>
  </si>
  <si>
    <t xml:space="preserve">VALUATION RANGE SUMMARY</t>
  </si>
  <si>
    <t xml:space="preserve">Method</t>
  </si>
  <si>
    <t xml:space="preserve">Low
(25th)</t>
  </si>
  <si>
    <t xml:space="preserve">Mid
(Median)</t>
  </si>
  <si>
    <t xml:space="preserve">High
(75th)</t>
  </si>
  <si>
    <t xml:space="preserve">EV/EBITDA</t>
  </si>
  <si>
    <t xml:space="preserve">EV/Revenue</t>
  </si>
  <si>
    <t xml:space="preserve">Current Price</t>
  </si>
  <si>
    <t xml:space="preserve">DEAL CHARACTERISTICS ANALYSIS</t>
  </si>
  <si>
    <t xml:space="preserve">BUYER TYPE BREAKDOWN</t>
  </si>
  <si>
    <t xml:space="preserve">Metric</t>
  </si>
  <si>
    <t xml:space="preserve">Strategic
Buyers</t>
  </si>
  <si>
    <t xml:space="preserve">Financial
Buyers</t>
  </si>
  <si>
    <t xml:space="preserve">All
Deals</t>
  </si>
  <si>
    <t xml:space="preserve">Number of Deals</t>
  </si>
  <si>
    <t xml:space="preserve">Median EV/EBITDA</t>
  </si>
  <si>
    <t xml:space="preserve">Median EV/Revenue</t>
  </si>
  <si>
    <t xml:space="preserve">Avg Deal Size (EUR M)</t>
  </si>
  <si>
    <t xml:space="preserve">CONTROL PREMIUM ANALYSIS</t>
  </si>
  <si>
    <t xml:space="preserve">Deals with reported premiums: 3</t>
  </si>
  <si>
    <t xml:space="preserve">CD&amp;R / Morrison (2021)</t>
  </si>
  <si>
    <t xml:space="preserve">Couche-Tard / Carrefour (2021)</t>
  </si>
  <si>
    <t xml:space="preserve">CVC / Zabka (2022)</t>
  </si>
  <si>
    <t xml:space="preserve">Mean Control Premium</t>
  </si>
  <si>
    <t xml:space="preserve">Median Control Premium</t>
  </si>
  <si>
    <t xml:space="preserve">Note: Control premiums in European grocery</t>
  </si>
  <si>
    <t xml:space="preserve">average 25-40% for take-privates; strategic</t>
  </si>
  <si>
    <t xml:space="preserve">bolt-ons rarely disclose premiums.</t>
  </si>
  <si>
    <t xml:space="preserve">SUBSECTOR BREAKDOWN</t>
  </si>
  <si>
    <t xml:space="preserve">Discount</t>
  </si>
  <si>
    <t xml:space="preserve">M&amp;A MARKET CONDITIONS (2020-2025)</t>
  </si>
  <si>
    <t xml:space="preserve">Year</t>
  </si>
  <si>
    <t xml:space="preserve">Median
EV/EBITDA</t>
  </si>
  <si>
    <t xml:space="preserve">Deal
Count</t>
  </si>
  <si>
    <t xml:space="preserve">Market
Environment</t>
  </si>
  <si>
    <t xml:space="preserve">Key Developments</t>
  </si>
  <si>
    <t xml:space="preserve">2020</t>
  </si>
  <si>
    <t xml:space="preserve">N/A</t>
  </si>
  <si>
    <t xml:space="preserve">Low</t>
  </si>
  <si>
    <t xml:space="preserve">COVID disruption</t>
  </si>
  <si>
    <t xml:space="preserve">Pandemic froze M&amp;A pipeline; grocery seen as essential/defensive; PE dry powder accumulated</t>
  </si>
  <si>
    <t xml:space="preserve">9.0x</t>
  </si>
  <si>
    <t xml:space="preserve">High</t>
  </si>
  <si>
    <t xml:space="preserve">Recovery boom</t>
  </si>
  <si>
    <t xml:space="preserve">Record PE deployment; CD&amp;R/Morrison GBP 9.8B (9.0x); Couche-Tard/Carrefour blocked; low rates fueled leverage</t>
  </si>
  <si>
    <t xml:space="preserve">8.3x</t>
  </si>
  <si>
    <t xml:space="preserve">Moderate</t>
  </si>
  <si>
    <t xml:space="preserve">Rate shock</t>
  </si>
  <si>
    <t xml:space="preserve">ECB/BoE rate hikes compressed valuations; CVC/Zabka at 9.0x showed convenience premium; inflation boosted nominal sales</t>
  </si>
  <si>
    <t xml:space="preserve">6.9x</t>
  </si>
  <si>
    <t xml:space="preserve">Buyer caution</t>
  </si>
  <si>
    <t xml:space="preserve">Higher financing costs depressed PE activity; strategic bolt-ons dominated; Kesko/Elektroskandia, Tokmanni/Dollarstore</t>
  </si>
  <si>
    <t xml:space="preserve">6.8x</t>
  </si>
  <si>
    <t xml:space="preserve">Recovering</t>
  </si>
  <si>
    <t xml:space="preserve">Stabilization</t>
  </si>
  <si>
    <t xml:space="preserve">Rates peaked/easing; Kesko/Davidsen showed Nordic building consolidation; strategic M&amp;A value 14.7x (record for strategics)</t>
  </si>
  <si>
    <t xml:space="preserve">7.0x</t>
  </si>
  <si>
    <t xml:space="preserve">Strong</t>
  </si>
  <si>
    <t xml:space="preserve">Recovery</t>
  </si>
  <si>
    <t xml:space="preserve">European M&amp;A value +12% yoy; Kroger-Albertsons block signals tougher grocery antitrust; bolt-ons remain preferred format</t>
  </si>
  <si>
    <t xml:space="preserve">KEY MARKET THEMES</t>
  </si>
  <si>
    <t xml:space="preserve">European grocery M&amp;A: Value-up, volume-down. Median EV/EBITDA compressed from 9.0x (2021) to 6.8x (2024) as rates rose, then recovering to ~7.0x in 2025.</t>
  </si>
  <si>
    <t xml:space="preserve">PE vs. Strategic: Financial buyers paid median 8.8x vs. 7.1x for strategics. PE premium reflects control value and leveraged returns.</t>
  </si>
  <si>
    <t xml:space="preserve">Nordic consolidation wave: Kesko, Axfood, Tokmanni all active acquirers. Building trade M&amp;A accelerated (Kesko/Davidsen, Kesko/Roslev, Kesko/Elektroskandia).</t>
  </si>
  <si>
    <t xml:space="preserve">Regulatory risk: Kroger-Albertsons blocked Dec 2024 signals higher bar for large-scale grocery M&amp;A. Couche-Tard/Carrefour blocked by French govt 2021.</t>
  </si>
  <si>
    <t xml:space="preserve">Convenience premium: Zabka (9.0x), Couche-Tard (high implied) command premium multiples due to growth profiles and defensive characteristics.</t>
  </si>
  <si>
    <t xml:space="preserve">Building materials: Smaller deals at 5.5-7.5x EV/EBITDA; lower multiples reflect cyclicality and B2B customer concentration.</t>
  </si>
  <si>
    <t xml:space="preserve">PRECEDENT ADJUSTMENTS FOR KESKO</t>
  </si>
  <si>
    <t xml:space="preserve">Factor</t>
  </si>
  <si>
    <t xml:space="preserve">Precedent
Median</t>
  </si>
  <si>
    <t xml:space="preserve">Assessment</t>
  </si>
  <si>
    <t xml:space="preserve">EBITDA Margin</t>
  </si>
  <si>
    <t xml:space="preserve">9.1%</t>
  </si>
  <si>
    <t xml:space="preserve">~5-8%</t>
  </si>
  <si>
    <t xml:space="preserve">PREMIUM: Superior margin vs. typical transaction targets</t>
  </si>
  <si>
    <t xml:space="preserve">Revenue Scale</t>
  </si>
  <si>
    <t xml:space="preserve">EUR 12.5B</t>
  </si>
  <si>
    <t xml:space="preserve">EUR 2-5B median</t>
  </si>
  <si>
    <t xml:space="preserve">PREMIUM: Significantly larger than most targets; scarcity value</t>
  </si>
  <si>
    <t xml:space="preserve">Market Position</t>
  </si>
  <si>
    <t xml:space="preserve">#1-2 Finland all segments</t>
  </si>
  <si>
    <t xml:space="preserve">Varies</t>
  </si>
  <si>
    <t xml:space="preserve">PREMIUM: Dominant market position commands control premium</t>
  </si>
  <si>
    <t xml:space="preserve">Balance Sheet</t>
  </si>
  <si>
    <t xml:space="preserve">0.8x ND/EBITDA</t>
  </si>
  <si>
    <t xml:space="preserve">1.5-3.0x typical</t>
  </si>
  <si>
    <t xml:space="preserve">PREMIUM: Under-levered; acquirer could leverage up for returns</t>
  </si>
  <si>
    <t xml:space="preserve">Diversification</t>
  </si>
  <si>
    <t xml:space="preserve">3 divisions</t>
  </si>
  <si>
    <t xml:space="preserve">1-2 segments</t>
  </si>
  <si>
    <t xml:space="preserve">PREMIUM: Grocery + Building + Car reduces single-segment risk</t>
  </si>
  <si>
    <t xml:space="preserve">Strategic Buyer Premium</t>
  </si>
  <si>
    <t xml:space="preserve">N/A (standalone)</t>
  </si>
  <si>
    <t xml:space="preserve">+20-40% typical</t>
  </si>
  <si>
    <t xml:space="preserve">ADJUST: Precedent premiums average 38%; apply only in M&amp;A scenario</t>
  </si>
  <si>
    <t xml:space="preserve">Building Trade Cyclicality</t>
  </si>
  <si>
    <t xml:space="preserve">36% of revenue cyclical</t>
  </si>
  <si>
    <t xml:space="preserve">Most targets stable</t>
  </si>
  <si>
    <t xml:space="preserve">DISCOUNT: B&amp;T division at trough; depresses near-term earnings</t>
  </si>
  <si>
    <t xml:space="preserve">Geographic Concentration</t>
  </si>
  <si>
    <t xml:space="preserve">60% Finland</t>
  </si>
  <si>
    <t xml:space="preserve">Multi-country targets</t>
  </si>
  <si>
    <t xml:space="preserve">DISCOUNT: Single-country risk limits acquirer universe</t>
  </si>
  <si>
    <t xml:space="preserve">IFRS 16 Lease Load</t>
  </si>
  <si>
    <t xml:space="preserve">EUR 2.15B leases</t>
  </si>
  <si>
    <t xml:space="preserve">DISCOUNT: High lease liabilities reduce equity bridge value</t>
  </si>
  <si>
    <t xml:space="preserve">Liquidity</t>
  </si>
  <si>
    <t xml:space="preserve">EUR 8B market cap</t>
  </si>
  <si>
    <t xml:space="preserve">Mostly private deals</t>
  </si>
  <si>
    <t xml:space="preserve">NEUTRAL: Public company; no liquidity discount needed</t>
  </si>
  <si>
    <t xml:space="preserve">ADJUSTED IMPLIED VALUATION</t>
  </si>
  <si>
    <t xml:space="preserve">Price/Share</t>
  </si>
  <si>
    <t xml:space="preserve">Unadjusted Precedent Median</t>
  </si>
  <si>
    <t xml:space="preserve">(+) Premium Adjustment (+15%)</t>
  </si>
  <si>
    <t xml:space="preserve">Adjusted Implied Valuation</t>
  </si>
  <si>
    <t xml:space="preserve">vs. Current (EUR 20.12)</t>
  </si>
  <si>
    <t xml:space="preserve">Conclusion: 5 premium factors, 3 discount, 1 adjustment, 1 neutral.</t>
  </si>
  <si>
    <t xml:space="preserve">A 15% premium to median precedent multiples is warranted, yielding</t>
  </si>
  <si>
    <t xml:space="preserve">an adjusted implied price of EUR 17.94/share.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</si>
</sst>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\x"/>
    <numFmt numFmtId="167" formatCode="0.0%;\(0.0%\);\-"/>
    <numFmt numFmtId="168" formatCode="0"/>
    <numFmt numFmtId="169" formatCode="0&quot; deals&quot;"/>
    <numFmt numFmtId="170" formatCode="#,##0.00;\(#,##0.00\);\-"/>
    <numFmt numFmtId="171" formatCode="\+0.0%;\-0.0%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B8CCE4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.5"/>
      <color rgb="FF333333"/>
      <name val="Arial"/>
      <family val="0"/>
      <charset val="1"/>
    </font>
    <font>
      <sz val="7"/>
      <color rgb="FF666666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7"/>
      <color rgb="FF999999"/>
      <name val="Arial"/>
      <family val="0"/>
      <charset val="1"/>
    </font>
    <font>
      <sz val="9"/>
      <color rgb="FF008000"/>
      <name val="Arial"/>
      <family val="0"/>
      <charset val="1"/>
    </font>
    <font>
      <sz val="8"/>
      <color rgb="FF333333"/>
      <name val="Arial"/>
      <family val="0"/>
      <charset val="1"/>
    </font>
    <font>
      <sz val="8"/>
      <color rgb="FF006600"/>
      <name val="Arial"/>
      <family val="0"/>
      <charset val="1"/>
    </font>
    <font>
      <sz val="8"/>
      <color rgb="FF996600"/>
      <name val="Arial"/>
      <family val="0"/>
      <charset val="1"/>
    </font>
    <font>
      <sz val="8"/>
      <color rgb="FFCC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E8F0FE"/>
      </patternFill>
    </fill>
    <fill>
      <patternFill patternType="solid">
        <fgColor rgb="FFE8F0FE"/>
        <bgColor rgb="FFF5F5F5"/>
      </patternFill>
    </fill>
    <fill>
      <patternFill patternType="solid">
        <fgColor rgb="FFFFF2CC"/>
        <bgColor rgb="FFF5F5F5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8F0FE"/>
      </patternFill>
    </fill>
    <fill>
      <patternFill patternType="solid">
        <fgColor rgb="FFFCE4EC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7030A0"/>
      <rgbColor rgb="FFFFF2CC"/>
      <rgbColor rgb="FFE8F0FE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5F5F5"/>
      <rgbColor rgb="FF99CCFF"/>
      <rgbColor rgb="FFFF99CC"/>
      <rgbColor rgb="FFCC99FF"/>
      <rgbColor rgb="FFFCE4EC"/>
      <rgbColor rgb="FF4472C4"/>
      <rgbColor rgb="FF33CCCC"/>
      <rgbColor rgb="FF70AD47"/>
      <rgbColor rgb="FFFFCC00"/>
      <rgbColor rgb="FFFF9900"/>
      <rgbColor rgb="FFED7D31"/>
      <rgbColor rgb="FF666666"/>
      <rgbColor rgb="FF999999"/>
      <rgbColor rgb="FF003366"/>
      <rgbColor rgb="FF00B050"/>
      <rgbColor rgb="FF0066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4.45" hidden="false" customHeight="false" outlineLevel="0" collapsed="false">
      <c r="A2" s="1"/>
      <c r="B2" s="2" t="s">
        <v>0</v>
      </c>
      <c r="C2" s="1"/>
      <c r="D2" s="1"/>
    </row>
    <row r="3" customFormat="false" ht="15" hidden="false" customHeight="false" outlineLevel="0" collapsed="false">
      <c r="A3" s="1"/>
      <c r="B3" s="3" t="s">
        <v>1</v>
      </c>
      <c r="C3" s="1"/>
      <c r="D3" s="1"/>
    </row>
    <row r="5" customFormat="false" ht="17.3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6" t="s">
        <v>4</v>
      </c>
    </row>
    <row r="9" customFormat="false" ht="15" hidden="false" customHeight="false" outlineLevel="0" collapsed="false">
      <c r="B9" s="7" t="s">
        <v>5</v>
      </c>
    </row>
    <row r="10" customFormat="false" ht="15" hidden="false" customHeight="false" outlineLevel="0" collapsed="false">
      <c r="B10" s="8" t="s">
        <v>6</v>
      </c>
    </row>
    <row r="11" customFormat="false" ht="15" hidden="false" customHeight="false" outlineLevel="0" collapsed="false">
      <c r="B11" s="8" t="s">
        <v>7</v>
      </c>
    </row>
    <row r="12" customFormat="false" ht="15" hidden="false" customHeight="false" outlineLevel="0" collapsed="false">
      <c r="B12" s="8" t="s">
        <v>8</v>
      </c>
    </row>
    <row r="13" customFormat="false" ht="15" hidden="false" customHeight="false" outlineLevel="0" collapsed="false">
      <c r="B13" s="8" t="s">
        <v>9</v>
      </c>
    </row>
    <row r="14" customFormat="false" ht="15" hidden="false" customHeight="false" outlineLevel="0" collapsed="false">
      <c r="B14" s="8" t="s">
        <v>10</v>
      </c>
    </row>
    <row r="15" customFormat="false" ht="15" hidden="false" customHeight="false" outlineLevel="0" collapsed="false">
      <c r="B15" s="8" t="s">
        <v>11</v>
      </c>
    </row>
    <row r="16" customFormat="false" ht="15" hidden="false" customHeight="false" outlineLevel="0" collapsed="false">
      <c r="B16" s="8" t="s">
        <v>12</v>
      </c>
    </row>
    <row r="19" customFormat="false" ht="15" hidden="false" customHeight="false" outlineLevel="0" collapsed="false">
      <c r="B19" s="7" t="s">
        <v>13</v>
      </c>
    </row>
    <row r="20" customFormat="false" ht="15" hidden="false" customHeight="false" outlineLevel="0" collapsed="false">
      <c r="B20" s="7" t="s">
        <v>14</v>
      </c>
    </row>
    <row r="22" customFormat="false" ht="15" hidden="false" customHeight="false" outlineLevel="0" collapsed="false">
      <c r="B22" s="9" t="s">
        <v>15</v>
      </c>
    </row>
    <row r="23" customFormat="false" ht="15" hidden="false" customHeight="false" outlineLevel="0" collapsed="false">
      <c r="B23" s="9" t="s">
        <v>16</v>
      </c>
    </row>
    <row r="25" customFormat="false" ht="16.15" hidden="false" customHeight="false" outlineLevel="0" collapsed="false">
      <c r="B25" s="10" t="s">
        <v>17</v>
      </c>
    </row>
    <row r="26" customFormat="false" ht="15" hidden="false" customHeight="false" outlineLevel="0" collapsed="false">
      <c r="B26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9" min="7" style="0" width="9"/>
    <col collapsed="false" customWidth="true" hidden="false" outlineLevel="0" max="10" min="10" style="0" width="7"/>
    <col collapsed="false" customWidth="true" hidden="false" outlineLevel="0" max="13" min="11" style="0" width="8"/>
    <col collapsed="false" customWidth="true" hidden="false" outlineLevel="0" max="14" min="14" style="0" width="35"/>
  </cols>
  <sheetData>
    <row r="1" customFormat="false" ht="17.35" hidden="false" customHeight="false" outlineLevel="0" collapsed="false">
      <c r="A1" s="4" t="s">
        <v>19</v>
      </c>
    </row>
    <row r="2" customFormat="false" ht="15" hidden="false" customHeight="false" outlineLevel="0" collapsed="false">
      <c r="A2" s="12" t="s">
        <v>20</v>
      </c>
      <c r="H2" s="11" t="s">
        <v>21</v>
      </c>
    </row>
    <row r="4" customFormat="false" ht="30" hidden="false" customHeight="true" outlineLevel="0" collapsed="false">
      <c r="A4" s="13" t="s">
        <v>22</v>
      </c>
      <c r="B4" s="14" t="s">
        <v>23</v>
      </c>
      <c r="C4" s="14" t="s">
        <v>24</v>
      </c>
      <c r="D4" s="14" t="s">
        <v>25</v>
      </c>
      <c r="E4" s="14" t="s">
        <v>26</v>
      </c>
      <c r="F4" s="14" t="s">
        <v>27</v>
      </c>
      <c r="G4" s="14" t="s">
        <v>28</v>
      </c>
      <c r="H4" s="14" t="s">
        <v>29</v>
      </c>
      <c r="I4" s="14" t="s">
        <v>30</v>
      </c>
      <c r="J4" s="14" t="s">
        <v>31</v>
      </c>
      <c r="K4" s="14" t="s">
        <v>32</v>
      </c>
      <c r="L4" s="14" t="s">
        <v>33</v>
      </c>
      <c r="M4" s="14" t="s">
        <v>34</v>
      </c>
      <c r="N4" s="14" t="s">
        <v>35</v>
      </c>
    </row>
    <row r="5" customFormat="false" ht="15" hidden="false" customHeight="false" outlineLevel="0" collapsed="false">
      <c r="A5" s="15" t="s">
        <v>36</v>
      </c>
      <c r="B5" s="15" t="s">
        <v>37</v>
      </c>
      <c r="C5" s="15" t="s">
        <v>38</v>
      </c>
      <c r="D5" s="16" t="s">
        <v>39</v>
      </c>
      <c r="E5" s="16" t="s">
        <v>40</v>
      </c>
      <c r="F5" s="17" t="s">
        <v>41</v>
      </c>
      <c r="G5" s="18" t="n">
        <v>11300</v>
      </c>
      <c r="H5" s="18" t="n">
        <v>20800</v>
      </c>
      <c r="I5" s="18" t="n">
        <v>1255</v>
      </c>
      <c r="J5" s="19" t="n">
        <v>0.54</v>
      </c>
      <c r="K5" s="19" t="n">
        <v>9</v>
      </c>
      <c r="L5" s="20" t="n">
        <v>0.61</v>
      </c>
      <c r="M5" s="16" t="s">
        <v>42</v>
      </c>
      <c r="N5" s="21" t="s">
        <v>43</v>
      </c>
    </row>
    <row r="6" customFormat="false" ht="15" hidden="false" customHeight="false" outlineLevel="0" collapsed="false">
      <c r="A6" s="22" t="s">
        <v>44</v>
      </c>
      <c r="B6" s="22" t="s">
        <v>45</v>
      </c>
      <c r="C6" s="22" t="s">
        <v>46</v>
      </c>
      <c r="D6" s="11" t="s">
        <v>47</v>
      </c>
      <c r="E6" s="11" t="s">
        <v>48</v>
      </c>
      <c r="F6" s="23" t="s">
        <v>49</v>
      </c>
      <c r="G6" s="24" t="n">
        <v>16300</v>
      </c>
      <c r="H6" s="24" t="n">
        <v>78000</v>
      </c>
      <c r="I6" s="24" t="n">
        <v>4200</v>
      </c>
      <c r="J6" s="25" t="n">
        <v>0.21</v>
      </c>
      <c r="K6" s="25" t="n">
        <v>3.9</v>
      </c>
      <c r="L6" s="26" t="n">
        <v>0.29</v>
      </c>
      <c r="M6" s="11" t="s">
        <v>50</v>
      </c>
      <c r="N6" s="9" t="s">
        <v>51</v>
      </c>
    </row>
    <row r="7" customFormat="false" ht="15" hidden="false" customHeight="false" outlineLevel="0" collapsed="false">
      <c r="A7" s="15" t="s">
        <v>52</v>
      </c>
      <c r="B7" s="15" t="s">
        <v>53</v>
      </c>
      <c r="C7" s="15" t="s">
        <v>54</v>
      </c>
      <c r="D7" s="16" t="s">
        <v>55</v>
      </c>
      <c r="E7" s="16" t="s">
        <v>40</v>
      </c>
      <c r="F7" s="17" t="s">
        <v>49</v>
      </c>
      <c r="G7" s="18" t="n">
        <v>480</v>
      </c>
      <c r="H7" s="18" t="n">
        <v>1100</v>
      </c>
      <c r="I7" s="18" t="n">
        <v>55</v>
      </c>
      <c r="J7" s="19" t="n">
        <v>0.44</v>
      </c>
      <c r="K7" s="19" t="n">
        <v>8.7</v>
      </c>
      <c r="L7" s="27"/>
      <c r="M7" s="16" t="s">
        <v>42</v>
      </c>
      <c r="N7" s="21" t="s">
        <v>56</v>
      </c>
    </row>
    <row r="8" customFormat="false" ht="15" hidden="false" customHeight="false" outlineLevel="0" collapsed="false">
      <c r="A8" s="22" t="s">
        <v>57</v>
      </c>
      <c r="B8" s="22" t="s">
        <v>58</v>
      </c>
      <c r="C8" s="22" t="s">
        <v>59</v>
      </c>
      <c r="D8" s="11" t="s">
        <v>60</v>
      </c>
      <c r="E8" s="11" t="s">
        <v>48</v>
      </c>
      <c r="F8" s="23" t="s">
        <v>49</v>
      </c>
      <c r="G8" s="24" t="n">
        <v>800</v>
      </c>
      <c r="H8" s="24" t="n">
        <v>2500</v>
      </c>
      <c r="I8" s="24" t="n">
        <v>100</v>
      </c>
      <c r="J8" s="25" t="n">
        <v>0.32</v>
      </c>
      <c r="K8" s="25" t="n">
        <v>8</v>
      </c>
      <c r="M8" s="11" t="s">
        <v>42</v>
      </c>
      <c r="N8" s="9" t="s">
        <v>61</v>
      </c>
    </row>
    <row r="9" customFormat="false" ht="15" hidden="false" customHeight="false" outlineLevel="0" collapsed="false">
      <c r="A9" s="15" t="s">
        <v>62</v>
      </c>
      <c r="B9" s="15" t="s">
        <v>63</v>
      </c>
      <c r="C9" s="15" t="s">
        <v>64</v>
      </c>
      <c r="D9" s="16" t="s">
        <v>39</v>
      </c>
      <c r="E9" s="16" t="s">
        <v>65</v>
      </c>
      <c r="F9" s="17" t="s">
        <v>49</v>
      </c>
      <c r="G9" s="18" t="n">
        <v>57</v>
      </c>
      <c r="H9" s="18" t="n">
        <v>120</v>
      </c>
      <c r="I9" s="18" t="n">
        <v>8</v>
      </c>
      <c r="J9" s="19" t="n">
        <v>0.48</v>
      </c>
      <c r="K9" s="19" t="n">
        <v>7.1</v>
      </c>
      <c r="L9" s="27"/>
      <c r="M9" s="16" t="s">
        <v>42</v>
      </c>
      <c r="N9" s="21" t="s">
        <v>66</v>
      </c>
    </row>
    <row r="10" customFormat="false" ht="15" hidden="false" customHeight="false" outlineLevel="0" collapsed="false">
      <c r="A10" s="22" t="s">
        <v>67</v>
      </c>
      <c r="B10" s="22" t="s">
        <v>68</v>
      </c>
      <c r="C10" s="22" t="s">
        <v>69</v>
      </c>
      <c r="D10" s="11" t="s">
        <v>70</v>
      </c>
      <c r="E10" s="11" t="s">
        <v>71</v>
      </c>
      <c r="F10" s="23" t="s">
        <v>41</v>
      </c>
      <c r="G10" s="24" t="n">
        <v>5600</v>
      </c>
      <c r="H10" s="24" t="n">
        <v>4800</v>
      </c>
      <c r="I10" s="24" t="n">
        <v>620</v>
      </c>
      <c r="J10" s="25" t="n">
        <v>1.17</v>
      </c>
      <c r="K10" s="25" t="n">
        <v>9</v>
      </c>
      <c r="L10" s="26" t="n">
        <v>0.25</v>
      </c>
      <c r="M10" s="11" t="s">
        <v>42</v>
      </c>
      <c r="N10" s="9" t="s">
        <v>72</v>
      </c>
    </row>
    <row r="11" customFormat="false" ht="15" hidden="false" customHeight="false" outlineLevel="0" collapsed="false">
      <c r="A11" s="15" t="s">
        <v>73</v>
      </c>
      <c r="B11" s="15" t="s">
        <v>74</v>
      </c>
      <c r="C11" s="15" t="s">
        <v>75</v>
      </c>
      <c r="D11" s="16" t="s">
        <v>76</v>
      </c>
      <c r="E11" s="16" t="s">
        <v>77</v>
      </c>
      <c r="F11" s="17" t="s">
        <v>49</v>
      </c>
      <c r="G11" s="18" t="n">
        <v>540</v>
      </c>
      <c r="H11" s="18" t="n">
        <v>1200</v>
      </c>
      <c r="I11" s="18" t="n">
        <v>75</v>
      </c>
      <c r="J11" s="19" t="n">
        <v>0.45</v>
      </c>
      <c r="K11" s="19" t="n">
        <v>7.2</v>
      </c>
      <c r="L11" s="27"/>
      <c r="M11" s="16" t="s">
        <v>42</v>
      </c>
      <c r="N11" s="21" t="s">
        <v>78</v>
      </c>
    </row>
    <row r="12" customFormat="false" ht="15" hidden="false" customHeight="false" outlineLevel="0" collapsed="false">
      <c r="A12" s="28" t="s">
        <v>79</v>
      </c>
      <c r="B12" s="29" t="s">
        <v>80</v>
      </c>
      <c r="C12" s="28" t="s">
        <v>81</v>
      </c>
      <c r="D12" s="30" t="s">
        <v>82</v>
      </c>
      <c r="E12" s="30" t="s">
        <v>83</v>
      </c>
      <c r="F12" s="31" t="s">
        <v>49</v>
      </c>
      <c r="G12" s="32" t="n">
        <v>130</v>
      </c>
      <c r="H12" s="32" t="n">
        <v>450</v>
      </c>
      <c r="I12" s="32" t="n">
        <v>22</v>
      </c>
      <c r="J12" s="33" t="n">
        <v>0.29</v>
      </c>
      <c r="K12" s="33" t="n">
        <v>5.9</v>
      </c>
      <c r="L12" s="34"/>
      <c r="M12" s="30" t="s">
        <v>42</v>
      </c>
      <c r="N12" s="35" t="s">
        <v>84</v>
      </c>
    </row>
    <row r="13" customFormat="false" ht="15" hidden="false" customHeight="false" outlineLevel="0" collapsed="false">
      <c r="A13" s="15" t="s">
        <v>85</v>
      </c>
      <c r="B13" s="15" t="s">
        <v>86</v>
      </c>
      <c r="C13" s="15" t="s">
        <v>87</v>
      </c>
      <c r="D13" s="16" t="s">
        <v>39</v>
      </c>
      <c r="E13" s="16" t="s">
        <v>88</v>
      </c>
      <c r="F13" s="17" t="s">
        <v>49</v>
      </c>
      <c r="G13" s="18" t="n">
        <v>431</v>
      </c>
      <c r="H13" s="27"/>
      <c r="I13" s="27"/>
      <c r="J13" s="27"/>
      <c r="K13" s="27"/>
      <c r="L13" s="27"/>
      <c r="M13" s="16" t="s">
        <v>42</v>
      </c>
      <c r="N13" s="21" t="s">
        <v>89</v>
      </c>
    </row>
    <row r="14" customFormat="false" ht="15" hidden="false" customHeight="false" outlineLevel="0" collapsed="false">
      <c r="A14" s="22" t="s">
        <v>90</v>
      </c>
      <c r="B14" s="22" t="s">
        <v>91</v>
      </c>
      <c r="C14" s="22" t="s">
        <v>92</v>
      </c>
      <c r="D14" s="11" t="s">
        <v>93</v>
      </c>
      <c r="E14" s="11" t="s">
        <v>94</v>
      </c>
      <c r="F14" s="23" t="s">
        <v>49</v>
      </c>
      <c r="G14" s="24" t="n">
        <v>350</v>
      </c>
      <c r="H14" s="24" t="n">
        <v>800</v>
      </c>
      <c r="I14" s="24" t="n">
        <v>45</v>
      </c>
      <c r="J14" s="25" t="n">
        <v>0.44</v>
      </c>
      <c r="K14" s="25" t="n">
        <v>7.8</v>
      </c>
      <c r="M14" s="11" t="s">
        <v>42</v>
      </c>
      <c r="N14" s="9" t="s">
        <v>95</v>
      </c>
    </row>
    <row r="15" customFormat="false" ht="15" hidden="false" customHeight="false" outlineLevel="0" collapsed="false">
      <c r="A15" s="28" t="s">
        <v>96</v>
      </c>
      <c r="B15" s="29" t="s">
        <v>80</v>
      </c>
      <c r="C15" s="28" t="s">
        <v>97</v>
      </c>
      <c r="D15" s="30" t="s">
        <v>98</v>
      </c>
      <c r="E15" s="30" t="s">
        <v>99</v>
      </c>
      <c r="F15" s="31" t="s">
        <v>49</v>
      </c>
      <c r="G15" s="32" t="n">
        <v>280</v>
      </c>
      <c r="H15" s="32" t="n">
        <v>720</v>
      </c>
      <c r="I15" s="32" t="n">
        <v>38</v>
      </c>
      <c r="J15" s="33" t="n">
        <v>0.39</v>
      </c>
      <c r="K15" s="33" t="n">
        <v>7.4</v>
      </c>
      <c r="L15" s="34"/>
      <c r="M15" s="30" t="s">
        <v>42</v>
      </c>
      <c r="N15" s="35" t="s">
        <v>100</v>
      </c>
    </row>
    <row r="16" customFormat="false" ht="15" hidden="false" customHeight="false" outlineLevel="0" collapsed="false">
      <c r="A16" s="22" t="s">
        <v>101</v>
      </c>
      <c r="B16" s="22" t="s">
        <v>102</v>
      </c>
      <c r="C16" s="22" t="s">
        <v>103</v>
      </c>
      <c r="D16" s="11" t="s">
        <v>98</v>
      </c>
      <c r="E16" s="11" t="s">
        <v>104</v>
      </c>
      <c r="F16" s="23" t="s">
        <v>49</v>
      </c>
      <c r="G16" s="24" t="n">
        <v>220</v>
      </c>
      <c r="H16" s="24" t="n">
        <v>650</v>
      </c>
      <c r="I16" s="24" t="n">
        <v>40</v>
      </c>
      <c r="J16" s="25" t="n">
        <v>0.34</v>
      </c>
      <c r="K16" s="25" t="n">
        <v>5.5</v>
      </c>
      <c r="M16" s="11" t="s">
        <v>42</v>
      </c>
      <c r="N16" s="9" t="s">
        <v>105</v>
      </c>
    </row>
    <row r="17" customFormat="false" ht="15" hidden="false" customHeight="false" outlineLevel="0" collapsed="false">
      <c r="A17" s="15" t="s">
        <v>106</v>
      </c>
      <c r="B17" s="15" t="s">
        <v>107</v>
      </c>
      <c r="C17" s="15" t="s">
        <v>108</v>
      </c>
      <c r="D17" s="16" t="s">
        <v>39</v>
      </c>
      <c r="E17" s="16" t="s">
        <v>77</v>
      </c>
      <c r="F17" s="17" t="s">
        <v>41</v>
      </c>
      <c r="G17" s="18" t="n">
        <v>5200</v>
      </c>
      <c r="H17" s="18" t="n">
        <v>5500</v>
      </c>
      <c r="I17" s="18" t="n">
        <v>620</v>
      </c>
      <c r="J17" s="19" t="n">
        <v>0.95</v>
      </c>
      <c r="K17" s="19" t="n">
        <v>8.4</v>
      </c>
      <c r="L17" s="27"/>
      <c r="M17" s="16" t="s">
        <v>109</v>
      </c>
      <c r="N17" s="21" t="s">
        <v>110</v>
      </c>
    </row>
    <row r="18" customFormat="false" ht="15" hidden="false" customHeight="false" outlineLevel="0" collapsed="false">
      <c r="A18" s="22" t="s">
        <v>111</v>
      </c>
      <c r="B18" s="22" t="s">
        <v>112</v>
      </c>
      <c r="C18" s="22" t="s">
        <v>113</v>
      </c>
      <c r="D18" s="11" t="s">
        <v>98</v>
      </c>
      <c r="E18" s="11" t="s">
        <v>40</v>
      </c>
      <c r="F18" s="23" t="s">
        <v>49</v>
      </c>
      <c r="G18" s="24" t="n">
        <v>150</v>
      </c>
      <c r="H18" s="24" t="n">
        <v>380</v>
      </c>
      <c r="I18" s="24" t="n">
        <v>25</v>
      </c>
      <c r="J18" s="25" t="n">
        <v>0.39</v>
      </c>
      <c r="K18" s="25" t="n">
        <v>6</v>
      </c>
      <c r="M18" s="11" t="s">
        <v>42</v>
      </c>
      <c r="N18" s="9" t="s">
        <v>114</v>
      </c>
    </row>
    <row r="19" customFormat="false" ht="15" hidden="false" customHeight="false" outlineLevel="0" collapsed="false">
      <c r="A19" s="28" t="s">
        <v>115</v>
      </c>
      <c r="B19" s="29" t="s">
        <v>80</v>
      </c>
      <c r="C19" s="28" t="s">
        <v>116</v>
      </c>
      <c r="D19" s="30" t="s">
        <v>98</v>
      </c>
      <c r="E19" s="30" t="s">
        <v>99</v>
      </c>
      <c r="F19" s="31" t="s">
        <v>49</v>
      </c>
      <c r="G19" s="32" t="n">
        <v>45</v>
      </c>
      <c r="H19" s="32" t="n">
        <v>120</v>
      </c>
      <c r="I19" s="32" t="n">
        <v>6</v>
      </c>
      <c r="J19" s="33" t="n">
        <v>0.38</v>
      </c>
      <c r="K19" s="33" t="n">
        <v>7.5</v>
      </c>
      <c r="L19" s="34"/>
      <c r="M19" s="30" t="s">
        <v>42</v>
      </c>
      <c r="N19" s="35" t="s">
        <v>117</v>
      </c>
    </row>
    <row r="20" customFormat="false" ht="15" hidden="false" customHeight="false" outlineLevel="0" collapsed="false">
      <c r="A20" s="36" t="s">
        <v>118</v>
      </c>
      <c r="B20" s="36" t="s">
        <v>119</v>
      </c>
      <c r="C20" s="36" t="s">
        <v>120</v>
      </c>
      <c r="D20" s="37" t="s">
        <v>121</v>
      </c>
      <c r="E20" s="37" t="s">
        <v>71</v>
      </c>
      <c r="F20" s="38" t="s">
        <v>49</v>
      </c>
      <c r="G20" s="39" t="n">
        <v>320</v>
      </c>
      <c r="H20" s="39" t="n">
        <v>800</v>
      </c>
      <c r="I20" s="39" t="n">
        <v>50</v>
      </c>
      <c r="J20" s="40" t="n">
        <v>0.4</v>
      </c>
      <c r="K20" s="40" t="n">
        <v>6.4</v>
      </c>
      <c r="L20" s="41"/>
      <c r="M20" s="37" t="s">
        <v>42</v>
      </c>
      <c r="N20" s="42" t="s">
        <v>122</v>
      </c>
    </row>
    <row r="21" customFormat="false" ht="15" hidden="false" customHeight="false" outlineLevel="0" collapsed="false">
      <c r="A21" s="43" t="s">
        <v>123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customFormat="false" ht="15" hidden="false" customHeight="false" outlineLevel="0" collapsed="false">
      <c r="A22" s="22" t="s">
        <v>124</v>
      </c>
      <c r="J22" s="45" t="n">
        <v>15</v>
      </c>
      <c r="K22" s="45" t="n">
        <v>15</v>
      </c>
    </row>
    <row r="23" customFormat="false" ht="15" hidden="false" customHeight="false" outlineLevel="0" collapsed="false">
      <c r="A23" s="7" t="s">
        <v>125</v>
      </c>
      <c r="J23" s="46" t="n">
        <v>0.479333333333333</v>
      </c>
      <c r="K23" s="46" t="n">
        <v>7.18666666666667</v>
      </c>
    </row>
    <row r="24" customFormat="false" ht="15" hidden="false" customHeight="false" outlineLevel="0" collapsed="false">
      <c r="A24" s="7" t="s">
        <v>126</v>
      </c>
      <c r="J24" s="46" t="n">
        <v>0.4</v>
      </c>
      <c r="K24" s="46" t="n">
        <v>7.4</v>
      </c>
    </row>
    <row r="25" customFormat="false" ht="15" hidden="false" customHeight="false" outlineLevel="0" collapsed="false">
      <c r="A25" s="22" t="s">
        <v>127</v>
      </c>
      <c r="J25" s="47" t="n">
        <v>0.34</v>
      </c>
      <c r="K25" s="47" t="n">
        <v>6</v>
      </c>
    </row>
    <row r="26" customFormat="false" ht="15" hidden="false" customHeight="false" outlineLevel="0" collapsed="false">
      <c r="A26" s="22" t="s">
        <v>128</v>
      </c>
      <c r="J26" s="47" t="n">
        <v>0.48</v>
      </c>
      <c r="K26" s="47" t="n">
        <v>8.4</v>
      </c>
    </row>
    <row r="27" customFormat="false" ht="15" hidden="false" customHeight="false" outlineLevel="0" collapsed="false">
      <c r="A27" s="22" t="s">
        <v>129</v>
      </c>
      <c r="J27" s="47" t="n">
        <v>0.21</v>
      </c>
      <c r="K27" s="47" t="n">
        <v>3.9</v>
      </c>
    </row>
    <row r="28" customFormat="false" ht="15" hidden="false" customHeight="false" outlineLevel="0" collapsed="false">
      <c r="A28" s="48" t="s">
        <v>130</v>
      </c>
      <c r="B28" s="49"/>
      <c r="C28" s="49"/>
      <c r="D28" s="49"/>
      <c r="E28" s="49"/>
      <c r="F28" s="49"/>
      <c r="G28" s="49"/>
      <c r="H28" s="49"/>
      <c r="I28" s="49"/>
      <c r="J28" s="50" t="n">
        <v>1.17</v>
      </c>
      <c r="K28" s="50" t="n">
        <v>9</v>
      </c>
      <c r="L28" s="49"/>
      <c r="M28" s="49"/>
      <c r="N28" s="49"/>
    </row>
    <row r="30" customFormat="false" ht="15" hidden="false" customHeight="false" outlineLevel="0" collapsed="false">
      <c r="A30" s="51" t="s">
        <v>131</v>
      </c>
    </row>
    <row r="31" customFormat="false" ht="15" hidden="false" customHeight="false" outlineLevel="0" collapsed="false">
      <c r="A31" s="5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4" t="s">
        <v>133</v>
      </c>
    </row>
    <row r="2" customFormat="false" ht="15" hidden="false" customHeight="false" outlineLevel="0" collapsed="false">
      <c r="A2" s="12" t="s">
        <v>20</v>
      </c>
    </row>
    <row r="4" customFormat="false" ht="22.35" hidden="false" customHeight="false" outlineLevel="0" collapsed="false">
      <c r="A4" s="13" t="s">
        <v>134</v>
      </c>
      <c r="B4" s="14" t="s">
        <v>135</v>
      </c>
      <c r="C4" s="14" t="s">
        <v>136</v>
      </c>
      <c r="D4" s="14" t="s">
        <v>33</v>
      </c>
    </row>
    <row r="5" customFormat="false" ht="15" hidden="false" customHeight="false" outlineLevel="0" collapsed="false">
      <c r="A5" s="22" t="s">
        <v>124</v>
      </c>
      <c r="B5" s="45" t="n">
        <v>15</v>
      </c>
      <c r="C5" s="45" t="n">
        <v>15</v>
      </c>
      <c r="D5" s="45" t="n">
        <v>3</v>
      </c>
    </row>
    <row r="6" customFormat="false" ht="15" hidden="false" customHeight="false" outlineLevel="0" collapsed="false">
      <c r="A6" s="7" t="s">
        <v>125</v>
      </c>
      <c r="B6" s="46" t="n">
        <v>0.479333333333333</v>
      </c>
      <c r="C6" s="46" t="n">
        <v>7.18666666666667</v>
      </c>
      <c r="D6" s="52" t="n">
        <v>0.383333333333333</v>
      </c>
    </row>
    <row r="7" customFormat="false" ht="15" hidden="false" customHeight="false" outlineLevel="0" collapsed="false">
      <c r="A7" s="7" t="s">
        <v>126</v>
      </c>
      <c r="B7" s="46" t="n">
        <v>0.4</v>
      </c>
      <c r="C7" s="46" t="n">
        <v>7.4</v>
      </c>
      <c r="D7" s="52" t="n">
        <v>0.29</v>
      </c>
    </row>
    <row r="8" customFormat="false" ht="15" hidden="false" customHeight="false" outlineLevel="0" collapsed="false">
      <c r="A8" s="22" t="s">
        <v>127</v>
      </c>
      <c r="B8" s="47" t="n">
        <v>0.34</v>
      </c>
      <c r="C8" s="47" t="n">
        <v>6</v>
      </c>
      <c r="D8" s="53" t="n">
        <v>0.25</v>
      </c>
    </row>
    <row r="9" customFormat="false" ht="15" hidden="false" customHeight="false" outlineLevel="0" collapsed="false">
      <c r="A9" s="22" t="s">
        <v>128</v>
      </c>
      <c r="B9" s="47" t="n">
        <v>0.48</v>
      </c>
      <c r="C9" s="47" t="n">
        <v>8.4</v>
      </c>
      <c r="D9" s="53" t="n">
        <v>0.61</v>
      </c>
    </row>
    <row r="10" customFormat="false" ht="15" hidden="false" customHeight="false" outlineLevel="0" collapsed="false">
      <c r="A10" s="22" t="s">
        <v>129</v>
      </c>
      <c r="B10" s="47" t="n">
        <v>0.21</v>
      </c>
      <c r="C10" s="47" t="n">
        <v>3.9</v>
      </c>
      <c r="D10" s="53" t="n">
        <v>0.25</v>
      </c>
    </row>
    <row r="11" customFormat="false" ht="15" hidden="false" customHeight="false" outlineLevel="0" collapsed="false">
      <c r="A11" s="36" t="s">
        <v>130</v>
      </c>
      <c r="B11" s="54" t="n">
        <v>1.17</v>
      </c>
      <c r="C11" s="54" t="n">
        <v>9</v>
      </c>
      <c r="D11" s="55" t="n">
        <v>0.61</v>
      </c>
    </row>
    <row r="13" customFormat="false" ht="15" hidden="false" customHeight="false" outlineLevel="0" collapsed="false">
      <c r="A13" s="56" t="s">
        <v>137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</row>
    <row r="14" customFormat="false" ht="15" hidden="false" customHeight="false" outlineLevel="0" collapsed="false">
      <c r="A14" s="7" t="s">
        <v>138</v>
      </c>
      <c r="B14" s="58" t="n">
        <v>12</v>
      </c>
      <c r="C14" s="59" t="n">
        <v>7.15</v>
      </c>
    </row>
    <row r="15" customFormat="false" ht="15" hidden="false" customHeight="false" outlineLevel="0" collapsed="false">
      <c r="A15" s="7" t="s">
        <v>139</v>
      </c>
      <c r="B15" s="58" t="n">
        <v>3</v>
      </c>
      <c r="C15" s="60" t="n">
        <v>9</v>
      </c>
    </row>
    <row r="17" customFormat="false" ht="15" hidden="false" customHeight="false" outlineLevel="0" collapsed="false">
      <c r="A17" s="11" t="s">
        <v>140</v>
      </c>
    </row>
    <row r="18" customFormat="false" ht="15" hidden="false" customHeight="false" outlineLevel="0" collapsed="false">
      <c r="A18" s="11" t="s">
        <v>141</v>
      </c>
    </row>
    <row r="19" customFormat="false" ht="15" hidden="false" customHeight="false" outlineLevel="0" collapsed="false">
      <c r="A19" s="11" t="s">
        <v>142</v>
      </c>
    </row>
    <row r="21" customFormat="false" ht="15" hidden="false" customHeight="false" outlineLevel="0" collapsed="false">
      <c r="A21" s="56" t="s">
        <v>143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customFormat="false" ht="15" hidden="false" customHeight="false" outlineLevel="0" collapsed="false">
      <c r="A22" s="22" t="s">
        <v>144</v>
      </c>
      <c r="B22" s="58" t="n">
        <v>3</v>
      </c>
      <c r="C22" s="47" t="n">
        <v>8.7</v>
      </c>
    </row>
    <row r="23" customFormat="false" ht="15" hidden="false" customHeight="false" outlineLevel="0" collapsed="false">
      <c r="A23" s="22" t="s">
        <v>145</v>
      </c>
      <c r="B23" s="58" t="n">
        <v>3</v>
      </c>
      <c r="C23" s="47" t="n">
        <v>8</v>
      </c>
    </row>
    <row r="24" customFormat="false" ht="15" hidden="false" customHeight="false" outlineLevel="0" collapsed="false">
      <c r="A24" s="22" t="s">
        <v>146</v>
      </c>
      <c r="B24" s="58" t="n">
        <v>3</v>
      </c>
      <c r="C24" s="47" t="n">
        <v>7.2</v>
      </c>
    </row>
    <row r="25" customFormat="false" ht="15" hidden="false" customHeight="false" outlineLevel="0" collapsed="false">
      <c r="A25" s="22" t="s">
        <v>147</v>
      </c>
      <c r="B25" s="58" t="n">
        <v>4</v>
      </c>
      <c r="C25" s="47" t="n">
        <v>6.7</v>
      </c>
    </row>
    <row r="26" customFormat="false" ht="15" hidden="false" customHeight="false" outlineLevel="0" collapsed="false">
      <c r="A26" s="22" t="s">
        <v>148</v>
      </c>
      <c r="B26" s="58" t="n">
        <v>2</v>
      </c>
      <c r="C26" s="47" t="n">
        <v>6.95</v>
      </c>
    </row>
    <row r="28" customFormat="false" ht="15" hidden="false" customHeight="false" outlineLevel="0" collapsed="false">
      <c r="A28" s="51" t="s">
        <v>131</v>
      </c>
    </row>
    <row r="29" customFormat="false" ht="15" hidden="false" customHeight="false" outlineLevel="0" collapsed="false">
      <c r="A29" s="5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S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4" t="s">
        <v>149</v>
      </c>
    </row>
    <row r="2" customFormat="false" ht="15" hidden="false" customHeight="false" outlineLevel="0" collapsed="false">
      <c r="A2" s="12" t="s">
        <v>20</v>
      </c>
    </row>
    <row r="4" customFormat="false" ht="15" hidden="false" customHeight="false" outlineLevel="0" collapsed="false">
      <c r="A4" s="13"/>
      <c r="B4" s="14" t="s">
        <v>150</v>
      </c>
      <c r="C4" s="14" t="s">
        <v>151</v>
      </c>
      <c r="D4" s="14" t="s">
        <v>126</v>
      </c>
      <c r="E4" s="14" t="s">
        <v>152</v>
      </c>
      <c r="F4" s="14" t="s">
        <v>125</v>
      </c>
    </row>
    <row r="5" customFormat="false" ht="15" hidden="false" customHeight="false" outlineLevel="0" collapsed="false">
      <c r="A5" s="56" t="s">
        <v>153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customFormat="false" ht="15" hidden="false" customHeight="false" outlineLevel="0" collapsed="false">
      <c r="A6" s="22" t="s">
        <v>154</v>
      </c>
      <c r="B6" s="11" t="s">
        <v>155</v>
      </c>
      <c r="C6" s="47" t="n">
        <v>6</v>
      </c>
      <c r="D6" s="61" t="n">
        <v>7.4</v>
      </c>
      <c r="E6" s="47" t="n">
        <v>8.4</v>
      </c>
      <c r="F6" s="47" t="n">
        <v>7.18666666666667</v>
      </c>
    </row>
    <row r="7" customFormat="false" ht="15" hidden="false" customHeight="false" outlineLevel="0" collapsed="false">
      <c r="A7" s="22" t="s">
        <v>156</v>
      </c>
      <c r="B7" s="11" t="s">
        <v>157</v>
      </c>
      <c r="C7" s="24" t="n">
        <v>1135</v>
      </c>
      <c r="D7" s="24" t="n">
        <v>1135</v>
      </c>
      <c r="E7" s="24" t="n">
        <v>1135</v>
      </c>
      <c r="F7" s="24" t="n">
        <v>1135</v>
      </c>
    </row>
    <row r="8" customFormat="false" ht="15" hidden="false" customHeight="false" outlineLevel="0" collapsed="false">
      <c r="A8" s="7" t="s">
        <v>158</v>
      </c>
      <c r="C8" s="62" t="n">
        <f aca="false">C6*C7</f>
        <v>6810</v>
      </c>
      <c r="D8" s="62" t="n">
        <f aca="false">D6*D7</f>
        <v>8399</v>
      </c>
      <c r="E8" s="62" t="n">
        <f aca="false">E6*E7</f>
        <v>9534</v>
      </c>
      <c r="F8" s="62" t="n">
        <f aca="false">F6*F7</f>
        <v>8156.86666666667</v>
      </c>
    </row>
    <row r="9" customFormat="false" ht="15" hidden="false" customHeight="false" outlineLevel="0" collapsed="false">
      <c r="A9" s="22" t="s">
        <v>159</v>
      </c>
      <c r="C9" s="24" t="n">
        <v>-857</v>
      </c>
      <c r="D9" s="24" t="n">
        <v>-857</v>
      </c>
      <c r="E9" s="24" t="n">
        <v>-857</v>
      </c>
      <c r="F9" s="24" t="n">
        <v>-857</v>
      </c>
    </row>
    <row r="10" customFormat="false" ht="15" hidden="false" customHeight="false" outlineLevel="0" collapsed="false">
      <c r="A10" s="22" t="s">
        <v>160</v>
      </c>
      <c r="C10" s="24" t="n">
        <v>-2151</v>
      </c>
      <c r="D10" s="24" t="n">
        <v>-2151</v>
      </c>
      <c r="E10" s="24" t="n">
        <v>-2151</v>
      </c>
      <c r="F10" s="24" t="n">
        <v>-2151</v>
      </c>
    </row>
    <row r="11" customFormat="false" ht="15" hidden="false" customHeight="false" outlineLevel="0" collapsed="false">
      <c r="A11" s="22" t="s">
        <v>161</v>
      </c>
      <c r="C11" s="24" t="n">
        <v>488</v>
      </c>
      <c r="D11" s="24" t="n">
        <v>488</v>
      </c>
      <c r="E11" s="24" t="n">
        <v>488</v>
      </c>
      <c r="F11" s="24" t="n">
        <v>488</v>
      </c>
    </row>
    <row r="12" customFormat="false" ht="15" hidden="false" customHeight="false" outlineLevel="0" collapsed="false">
      <c r="A12" s="7" t="s">
        <v>162</v>
      </c>
      <c r="C12" s="62" t="n">
        <f aca="false">C8+C9+C10+C11</f>
        <v>4290</v>
      </c>
      <c r="D12" s="62" t="n">
        <f aca="false">D8+D9+D10+D11</f>
        <v>5879</v>
      </c>
      <c r="E12" s="62" t="n">
        <f aca="false">E8+E9+E10+E11</f>
        <v>7014</v>
      </c>
      <c r="F12" s="62" t="n">
        <f aca="false">F8+F9+F10+F11</f>
        <v>5636.86666666667</v>
      </c>
    </row>
    <row r="13" customFormat="false" ht="15" hidden="false" customHeight="false" outlineLevel="0" collapsed="false">
      <c r="A13" s="22" t="s">
        <v>163</v>
      </c>
      <c r="C13" s="63" t="n">
        <v>398</v>
      </c>
      <c r="D13" s="63" t="n">
        <v>398</v>
      </c>
      <c r="E13" s="63" t="n">
        <v>398</v>
      </c>
      <c r="F13" s="63" t="n">
        <v>398</v>
      </c>
    </row>
    <row r="14" customFormat="false" ht="15" hidden="false" customHeight="false" outlineLevel="0" collapsed="false">
      <c r="A14" s="64" t="s">
        <v>164</v>
      </c>
      <c r="B14" s="49"/>
      <c r="C14" s="65" t="n">
        <f aca="false">C12/C13</f>
        <v>10.7788944723618</v>
      </c>
      <c r="D14" s="65" t="n">
        <f aca="false">D12/D13</f>
        <v>14.7713567839196</v>
      </c>
      <c r="E14" s="65" t="n">
        <f aca="false">E12/E13</f>
        <v>17.6231155778894</v>
      </c>
      <c r="F14" s="65" t="n">
        <f aca="false">F12/F13</f>
        <v>14.1629815745394</v>
      </c>
    </row>
    <row r="15" customFormat="false" ht="15" hidden="false" customHeight="false" outlineLevel="0" collapsed="false">
      <c r="A15" s="7" t="s">
        <v>165</v>
      </c>
      <c r="C15" s="66" t="n">
        <f aca="false">(C14/20.12)-1</f>
        <v>-0.464269658431322</v>
      </c>
      <c r="D15" s="66" t="n">
        <f aca="false">(D14/20.12)-1</f>
        <v>-0.265837137976163</v>
      </c>
      <c r="E15" s="66" t="n">
        <f aca="false">(E14/20.12)-1</f>
        <v>-0.124099623365336</v>
      </c>
      <c r="F15" s="66" t="n">
        <f aca="false">(F14/20.12)-1</f>
        <v>-0.296074474426473</v>
      </c>
    </row>
    <row r="17" customFormat="false" ht="15" hidden="false" customHeight="false" outlineLevel="0" collapsed="false">
      <c r="A17" s="56" t="s">
        <v>166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</row>
    <row r="18" customFormat="false" ht="15" hidden="false" customHeight="false" outlineLevel="0" collapsed="false">
      <c r="A18" s="22" t="s">
        <v>154</v>
      </c>
      <c r="B18" s="11" t="s">
        <v>155</v>
      </c>
      <c r="C18" s="47" t="n">
        <v>0.34</v>
      </c>
      <c r="D18" s="61" t="n">
        <v>0.4</v>
      </c>
      <c r="E18" s="47" t="n">
        <v>0.48</v>
      </c>
      <c r="F18" s="47" t="n">
        <v>0.479333333333333</v>
      </c>
    </row>
    <row r="19" customFormat="false" ht="15" hidden="false" customHeight="false" outlineLevel="0" collapsed="false">
      <c r="A19" s="22" t="s">
        <v>167</v>
      </c>
      <c r="B19" s="11" t="s">
        <v>157</v>
      </c>
      <c r="C19" s="24" t="n">
        <v>12475</v>
      </c>
      <c r="D19" s="24" t="n">
        <v>12475</v>
      </c>
      <c r="E19" s="24" t="n">
        <v>12475</v>
      </c>
      <c r="F19" s="24" t="n">
        <v>12475</v>
      </c>
    </row>
    <row r="20" customFormat="false" ht="15" hidden="false" customHeight="false" outlineLevel="0" collapsed="false">
      <c r="A20" s="7" t="s">
        <v>158</v>
      </c>
      <c r="C20" s="62" t="n">
        <f aca="false">C18*C19</f>
        <v>4241.5</v>
      </c>
      <c r="D20" s="62" t="n">
        <f aca="false">D18*D19</f>
        <v>4990</v>
      </c>
      <c r="E20" s="62" t="n">
        <f aca="false">E18*E19</f>
        <v>5988</v>
      </c>
      <c r="F20" s="62" t="n">
        <f aca="false">F18*F19</f>
        <v>5979.68333333333</v>
      </c>
    </row>
    <row r="21" customFormat="false" ht="15" hidden="false" customHeight="false" outlineLevel="0" collapsed="false">
      <c r="A21" s="22" t="s">
        <v>168</v>
      </c>
      <c r="C21" s="24" t="n">
        <v>-2520</v>
      </c>
      <c r="D21" s="24" t="n">
        <v>-2520</v>
      </c>
      <c r="E21" s="24" t="n">
        <v>-2520</v>
      </c>
      <c r="F21" s="24" t="n">
        <v>-2520</v>
      </c>
    </row>
    <row r="22" customFormat="false" ht="15" hidden="false" customHeight="false" outlineLevel="0" collapsed="false">
      <c r="A22" s="7" t="s">
        <v>162</v>
      </c>
      <c r="C22" s="62" t="n">
        <f aca="false">C20+C21</f>
        <v>1721.5</v>
      </c>
      <c r="D22" s="62" t="n">
        <f aca="false">D20+D21</f>
        <v>2470</v>
      </c>
      <c r="E22" s="62" t="n">
        <f aca="false">E20+E21</f>
        <v>3468</v>
      </c>
      <c r="F22" s="62" t="n">
        <f aca="false">F20+F21</f>
        <v>3459.68333333333</v>
      </c>
    </row>
    <row r="23" customFormat="false" ht="15" hidden="false" customHeight="false" outlineLevel="0" collapsed="false">
      <c r="A23" s="64" t="s">
        <v>164</v>
      </c>
      <c r="B23" s="49"/>
      <c r="C23" s="65" t="n">
        <f aca="false">C22/398</f>
        <v>4.32537688442211</v>
      </c>
      <c r="D23" s="65" t="n">
        <f aca="false">D22/398</f>
        <v>6.20603015075377</v>
      </c>
      <c r="E23" s="65" t="n">
        <f aca="false">E22/398</f>
        <v>8.71356783919598</v>
      </c>
      <c r="F23" s="65" t="n">
        <f aca="false">F22/398</f>
        <v>8.69267169179229</v>
      </c>
    </row>
    <row r="25" customFormat="false" ht="15" hidden="false" customHeight="false" outlineLevel="0" collapsed="false">
      <c r="A25" s="43" t="s">
        <v>169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customFormat="false" ht="22.35" hidden="false" customHeight="false" outlineLevel="0" collapsed="false">
      <c r="A26" s="13" t="s">
        <v>170</v>
      </c>
      <c r="B26" s="14"/>
      <c r="C26" s="14" t="s">
        <v>171</v>
      </c>
      <c r="D26" s="14" t="s">
        <v>172</v>
      </c>
      <c r="E26" s="14" t="s">
        <v>173</v>
      </c>
      <c r="F26" s="14" t="s">
        <v>125</v>
      </c>
    </row>
    <row r="27" customFormat="false" ht="15" hidden="false" customHeight="false" outlineLevel="0" collapsed="false">
      <c r="A27" s="7" t="s">
        <v>174</v>
      </c>
      <c r="C27" s="67" t="n">
        <f aca="false">C14</f>
        <v>10.7788944723618</v>
      </c>
      <c r="D27" s="67" t="n">
        <f aca="false">D14</f>
        <v>14.7713567839196</v>
      </c>
      <c r="E27" s="67" t="n">
        <f aca="false">E14</f>
        <v>17.6231155778894</v>
      </c>
      <c r="F27" s="67" t="n">
        <f aca="false">F14</f>
        <v>14.1629815745394</v>
      </c>
    </row>
    <row r="28" customFormat="false" ht="15" hidden="false" customHeight="false" outlineLevel="0" collapsed="false">
      <c r="A28" s="68" t="s">
        <v>175</v>
      </c>
      <c r="B28" s="41"/>
      <c r="C28" s="69" t="n">
        <f aca="false">C23</f>
        <v>4.32537688442211</v>
      </c>
      <c r="D28" s="69" t="n">
        <f aca="false">D23</f>
        <v>6.20603015075377</v>
      </c>
      <c r="E28" s="69" t="n">
        <f aca="false">E23</f>
        <v>8.71356783919598</v>
      </c>
      <c r="F28" s="69" t="n">
        <f aca="false">F23</f>
        <v>8.69267169179229</v>
      </c>
    </row>
    <row r="29" customFormat="false" ht="15" hidden="false" customHeight="false" outlineLevel="0" collapsed="false">
      <c r="A29" s="7" t="s">
        <v>176</v>
      </c>
      <c r="C29" s="70" t="n">
        <v>20.12</v>
      </c>
      <c r="D29" s="70" t="n">
        <v>20.12</v>
      </c>
      <c r="E29" s="70" t="n">
        <v>20.12</v>
      </c>
      <c r="F29" s="70" t="n">
        <v>20.12</v>
      </c>
    </row>
    <row r="31" customFormat="false" ht="15" hidden="false" customHeight="false" outlineLevel="0" collapsed="false">
      <c r="A31" s="51" t="s">
        <v>131</v>
      </c>
    </row>
    <row r="32" customFormat="false" ht="15" hidden="false" customHeight="false" outlineLevel="0" collapsed="false">
      <c r="A32" s="5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4" t="s">
        <v>177</v>
      </c>
    </row>
    <row r="2" customFormat="false" ht="15" hidden="false" customHeight="false" outlineLevel="0" collapsed="false">
      <c r="A2" s="12" t="s">
        <v>20</v>
      </c>
    </row>
    <row r="4" customFormat="false" ht="15" hidden="false" customHeight="false" outlineLevel="0" collapsed="false">
      <c r="A4" s="56" t="s">
        <v>178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customFormat="false" ht="22.35" hidden="false" customHeight="false" outlineLevel="0" collapsed="false">
      <c r="A5" s="13" t="s">
        <v>179</v>
      </c>
      <c r="B5" s="14" t="s">
        <v>180</v>
      </c>
      <c r="C5" s="14" t="s">
        <v>181</v>
      </c>
      <c r="D5" s="14" t="s">
        <v>182</v>
      </c>
      <c r="E5" s="14"/>
    </row>
    <row r="6" customFormat="false" ht="15" hidden="false" customHeight="false" outlineLevel="0" collapsed="false">
      <c r="A6" s="22" t="s">
        <v>183</v>
      </c>
      <c r="B6" s="45" t="n">
        <v>13</v>
      </c>
      <c r="C6" s="45" t="n">
        <v>3</v>
      </c>
      <c r="D6" s="45" t="n">
        <v>16</v>
      </c>
    </row>
    <row r="7" customFormat="false" ht="15" hidden="false" customHeight="false" outlineLevel="0" collapsed="false">
      <c r="A7" s="7" t="s">
        <v>184</v>
      </c>
      <c r="B7" s="59" t="n">
        <v>7.15</v>
      </c>
      <c r="C7" s="46" t="n">
        <v>9</v>
      </c>
      <c r="D7" s="46" t="n">
        <v>7.4</v>
      </c>
    </row>
    <row r="8" customFormat="false" ht="15" hidden="false" customHeight="false" outlineLevel="0" collapsed="false">
      <c r="A8" s="7" t="s">
        <v>185</v>
      </c>
      <c r="B8" s="47" t="n">
        <v>0.39</v>
      </c>
      <c r="C8" s="47" t="n">
        <v>0.95</v>
      </c>
      <c r="D8" s="47" t="n">
        <v>0.4</v>
      </c>
    </row>
    <row r="9" customFormat="false" ht="15" hidden="false" customHeight="false" outlineLevel="0" collapsed="false">
      <c r="A9" s="36" t="s">
        <v>186</v>
      </c>
      <c r="B9" s="71" t="n">
        <v>1546.38461538462</v>
      </c>
      <c r="C9" s="71" t="n">
        <v>7366.66666666667</v>
      </c>
      <c r="D9" s="71" t="n">
        <v>2637.6875</v>
      </c>
      <c r="E9" s="41"/>
    </row>
    <row r="11" customFormat="false" ht="15" hidden="false" customHeight="false" outlineLevel="0" collapsed="false">
      <c r="A11" s="56" t="s">
        <v>187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</row>
    <row r="12" customFormat="false" ht="15" hidden="false" customHeight="false" outlineLevel="0" collapsed="false">
      <c r="A12" s="22" t="s">
        <v>188</v>
      </c>
    </row>
    <row r="13" customFormat="false" ht="15" hidden="false" customHeight="false" outlineLevel="0" collapsed="false">
      <c r="A13" s="22" t="s">
        <v>189</v>
      </c>
      <c r="B13" s="26" t="n">
        <v>0.61</v>
      </c>
    </row>
    <row r="14" customFormat="false" ht="15" hidden="false" customHeight="false" outlineLevel="0" collapsed="false">
      <c r="A14" s="22" t="s">
        <v>190</v>
      </c>
      <c r="B14" s="26" t="n">
        <v>0.29</v>
      </c>
    </row>
    <row r="15" customFormat="false" ht="15" hidden="false" customHeight="false" outlineLevel="0" collapsed="false">
      <c r="A15" s="72" t="s">
        <v>191</v>
      </c>
      <c r="B15" s="73" t="n">
        <v>0.25</v>
      </c>
      <c r="C15" s="74"/>
      <c r="D15" s="74"/>
      <c r="E15" s="74"/>
    </row>
    <row r="16" customFormat="false" ht="15" hidden="false" customHeight="false" outlineLevel="0" collapsed="false">
      <c r="A16" s="7" t="s">
        <v>192</v>
      </c>
      <c r="B16" s="52" t="n">
        <v>0.383333333333333</v>
      </c>
    </row>
    <row r="17" customFormat="false" ht="15" hidden="false" customHeight="false" outlineLevel="0" collapsed="false">
      <c r="A17" s="7" t="s">
        <v>193</v>
      </c>
      <c r="B17" s="75" t="n">
        <v>0.29</v>
      </c>
    </row>
    <row r="19" customFormat="false" ht="15" hidden="false" customHeight="false" outlineLevel="0" collapsed="false">
      <c r="A19" s="11" t="s">
        <v>194</v>
      </c>
    </row>
    <row r="20" customFormat="false" ht="15" hidden="false" customHeight="false" outlineLevel="0" collapsed="false">
      <c r="A20" s="11" t="s">
        <v>195</v>
      </c>
    </row>
    <row r="21" customFormat="false" ht="15" hidden="false" customHeight="false" outlineLevel="0" collapsed="false">
      <c r="A21" s="11" t="s">
        <v>196</v>
      </c>
    </row>
    <row r="23" customFormat="false" ht="15" hidden="false" customHeight="false" outlineLevel="0" collapsed="false">
      <c r="A23" s="56" t="s">
        <v>197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</row>
    <row r="24" customFormat="false" ht="15" hidden="false" customHeight="false" outlineLevel="0" collapsed="false">
      <c r="A24" s="22" t="s">
        <v>83</v>
      </c>
      <c r="B24" s="58" t="n">
        <v>1</v>
      </c>
      <c r="C24" s="47" t="n">
        <v>5.9</v>
      </c>
    </row>
    <row r="25" customFormat="false" ht="15" hidden="false" customHeight="false" outlineLevel="0" collapsed="false">
      <c r="A25" s="22" t="s">
        <v>99</v>
      </c>
      <c r="B25" s="58" t="n">
        <v>2</v>
      </c>
      <c r="C25" s="47" t="n">
        <v>7.45</v>
      </c>
    </row>
    <row r="26" customFormat="false" ht="15" hidden="false" customHeight="false" outlineLevel="0" collapsed="false">
      <c r="A26" s="22" t="s">
        <v>71</v>
      </c>
      <c r="B26" s="58" t="n">
        <v>2</v>
      </c>
      <c r="C26" s="47" t="n">
        <v>7.7</v>
      </c>
    </row>
    <row r="27" customFormat="false" ht="15" hidden="false" customHeight="false" outlineLevel="0" collapsed="false">
      <c r="A27" s="22" t="s">
        <v>198</v>
      </c>
      <c r="B27" s="58" t="n">
        <v>1</v>
      </c>
      <c r="C27" s="47" t="n">
        <v>5.5</v>
      </c>
    </row>
    <row r="28" customFormat="false" ht="15" hidden="false" customHeight="false" outlineLevel="0" collapsed="false">
      <c r="A28" s="22" t="s">
        <v>77</v>
      </c>
      <c r="B28" s="58" t="n">
        <v>2</v>
      </c>
      <c r="C28" s="47" t="n">
        <v>7.8</v>
      </c>
    </row>
    <row r="29" customFormat="false" ht="15" hidden="false" customHeight="false" outlineLevel="0" collapsed="false">
      <c r="A29" s="22" t="s">
        <v>40</v>
      </c>
      <c r="B29" s="58" t="n">
        <v>6</v>
      </c>
      <c r="C29" s="47" t="n">
        <v>7.9</v>
      </c>
    </row>
    <row r="30" customFormat="false" ht="15" hidden="false" customHeight="false" outlineLevel="0" collapsed="false">
      <c r="A30" s="22" t="s">
        <v>65</v>
      </c>
      <c r="B30" s="58" t="n">
        <v>1</v>
      </c>
      <c r="C30" s="47" t="n">
        <v>7.1</v>
      </c>
    </row>
    <row r="32" customFormat="false" ht="15" hidden="false" customHeight="false" outlineLevel="0" collapsed="false">
      <c r="A32" s="51" t="s">
        <v>131</v>
      </c>
    </row>
    <row r="33" customFormat="false" ht="15" hidden="false" customHeight="false" outlineLevel="0" collapsed="false">
      <c r="A33" s="5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4" t="s">
        <v>199</v>
      </c>
    </row>
    <row r="2" customFormat="false" ht="15" hidden="false" customHeight="false" outlineLevel="0" collapsed="false">
      <c r="A2" s="12" t="s">
        <v>20</v>
      </c>
    </row>
    <row r="4" customFormat="false" ht="22.35" hidden="false" customHeight="false" outlineLevel="0" collapsed="false">
      <c r="A4" s="13" t="s">
        <v>200</v>
      </c>
      <c r="B4" s="14" t="s">
        <v>201</v>
      </c>
      <c r="C4" s="14" t="s">
        <v>202</v>
      </c>
      <c r="D4" s="14" t="s">
        <v>203</v>
      </c>
      <c r="E4" s="14" t="s">
        <v>204</v>
      </c>
    </row>
    <row r="5" customFormat="false" ht="15" hidden="false" customHeight="false" outlineLevel="0" collapsed="false">
      <c r="A5" s="76" t="s">
        <v>205</v>
      </c>
      <c r="B5" s="16" t="s">
        <v>206</v>
      </c>
      <c r="C5" s="15" t="s">
        <v>207</v>
      </c>
      <c r="D5" s="15" t="s">
        <v>208</v>
      </c>
      <c r="E5" s="21" t="s">
        <v>209</v>
      </c>
    </row>
    <row r="6" customFormat="false" ht="15" hidden="false" customHeight="false" outlineLevel="0" collapsed="false">
      <c r="A6" s="7" t="s">
        <v>144</v>
      </c>
      <c r="B6" s="7" t="s">
        <v>210</v>
      </c>
      <c r="C6" s="22" t="s">
        <v>211</v>
      </c>
      <c r="D6" s="22" t="s">
        <v>212</v>
      </c>
      <c r="E6" s="9" t="s">
        <v>213</v>
      </c>
    </row>
    <row r="7" customFormat="false" ht="15" hidden="false" customHeight="false" outlineLevel="0" collapsed="false">
      <c r="A7" s="76" t="s">
        <v>145</v>
      </c>
      <c r="B7" s="76" t="s">
        <v>214</v>
      </c>
      <c r="C7" s="15" t="s">
        <v>215</v>
      </c>
      <c r="D7" s="15" t="s">
        <v>216</v>
      </c>
      <c r="E7" s="21" t="s">
        <v>217</v>
      </c>
    </row>
    <row r="8" customFormat="false" ht="15" hidden="false" customHeight="false" outlineLevel="0" collapsed="false">
      <c r="A8" s="7" t="s">
        <v>146</v>
      </c>
      <c r="B8" s="7" t="s">
        <v>218</v>
      </c>
      <c r="C8" s="22" t="s">
        <v>215</v>
      </c>
      <c r="D8" s="22" t="s">
        <v>219</v>
      </c>
      <c r="E8" s="9" t="s">
        <v>220</v>
      </c>
    </row>
    <row r="9" customFormat="false" ht="15" hidden="false" customHeight="false" outlineLevel="0" collapsed="false">
      <c r="A9" s="76" t="s">
        <v>147</v>
      </c>
      <c r="B9" s="76" t="s">
        <v>221</v>
      </c>
      <c r="C9" s="15" t="s">
        <v>222</v>
      </c>
      <c r="D9" s="15" t="s">
        <v>223</v>
      </c>
      <c r="E9" s="21" t="s">
        <v>224</v>
      </c>
    </row>
    <row r="10" customFormat="false" ht="15" hidden="false" customHeight="false" outlineLevel="0" collapsed="false">
      <c r="A10" s="68" t="s">
        <v>148</v>
      </c>
      <c r="B10" s="68" t="s">
        <v>225</v>
      </c>
      <c r="C10" s="36" t="s">
        <v>226</v>
      </c>
      <c r="D10" s="36" t="s">
        <v>227</v>
      </c>
      <c r="E10" s="42" t="s">
        <v>228</v>
      </c>
    </row>
    <row r="12" customFormat="false" ht="15" hidden="false" customHeight="false" outlineLevel="0" collapsed="false">
      <c r="A12" s="56" t="s">
        <v>229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</row>
    <row r="13" customFormat="false" ht="15" hidden="false" customHeight="false" outlineLevel="0" collapsed="false">
      <c r="A13" s="77" t="s">
        <v>230</v>
      </c>
    </row>
    <row r="14" customFormat="false" ht="15" hidden="false" customHeight="false" outlineLevel="0" collapsed="false">
      <c r="A14" s="77" t="s">
        <v>231</v>
      </c>
    </row>
    <row r="15" customFormat="false" ht="15" hidden="false" customHeight="false" outlineLevel="0" collapsed="false">
      <c r="A15" s="77" t="s">
        <v>232</v>
      </c>
    </row>
    <row r="16" customFormat="false" ht="15" hidden="false" customHeight="false" outlineLevel="0" collapsed="false">
      <c r="A16" s="77" t="s">
        <v>233</v>
      </c>
    </row>
    <row r="17" customFormat="false" ht="15" hidden="false" customHeight="false" outlineLevel="0" collapsed="false">
      <c r="A17" s="77" t="s">
        <v>234</v>
      </c>
    </row>
    <row r="18" customFormat="false" ht="15" hidden="false" customHeight="false" outlineLevel="0" collapsed="false">
      <c r="A18" s="77" t="s">
        <v>235</v>
      </c>
    </row>
    <row r="20" customFormat="false" ht="15" hidden="false" customHeight="false" outlineLevel="0" collapsed="false">
      <c r="A20" s="51" t="s">
        <v>131</v>
      </c>
    </row>
    <row r="21" customFormat="false" ht="15" hidden="false" customHeight="false" outlineLevel="0" collapsed="false">
      <c r="A21" s="5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4" t="s">
        <v>236</v>
      </c>
    </row>
    <row r="2" customFormat="false" ht="15" hidden="false" customHeight="false" outlineLevel="0" collapsed="false">
      <c r="A2" s="12" t="s">
        <v>20</v>
      </c>
    </row>
    <row r="4" customFormat="false" ht="22.35" hidden="false" customHeight="false" outlineLevel="0" collapsed="false">
      <c r="A4" s="13" t="s">
        <v>237</v>
      </c>
      <c r="B4" s="14" t="s">
        <v>80</v>
      </c>
      <c r="C4" s="14" t="s">
        <v>238</v>
      </c>
      <c r="D4" s="14" t="s">
        <v>239</v>
      </c>
    </row>
    <row r="5" customFormat="false" ht="15" hidden="false" customHeight="false" outlineLevel="0" collapsed="false">
      <c r="A5" s="7" t="s">
        <v>240</v>
      </c>
      <c r="B5" s="23" t="s">
        <v>241</v>
      </c>
      <c r="C5" s="22" t="s">
        <v>242</v>
      </c>
      <c r="D5" s="78" t="s">
        <v>243</v>
      </c>
    </row>
    <row r="6" customFormat="false" ht="15" hidden="false" customHeight="false" outlineLevel="0" collapsed="false">
      <c r="A6" s="7" t="s">
        <v>244</v>
      </c>
      <c r="B6" s="23" t="s">
        <v>245</v>
      </c>
      <c r="C6" s="22" t="s">
        <v>246</v>
      </c>
      <c r="D6" s="78" t="s">
        <v>247</v>
      </c>
    </row>
    <row r="7" customFormat="false" ht="15" hidden="false" customHeight="false" outlineLevel="0" collapsed="false">
      <c r="A7" s="7" t="s">
        <v>248</v>
      </c>
      <c r="B7" s="23" t="s">
        <v>249</v>
      </c>
      <c r="C7" s="22" t="s">
        <v>250</v>
      </c>
      <c r="D7" s="78" t="s">
        <v>251</v>
      </c>
    </row>
    <row r="8" customFormat="false" ht="15" hidden="false" customHeight="false" outlineLevel="0" collapsed="false">
      <c r="A8" s="7" t="s">
        <v>252</v>
      </c>
      <c r="B8" s="23" t="s">
        <v>253</v>
      </c>
      <c r="C8" s="22" t="s">
        <v>254</v>
      </c>
      <c r="D8" s="78" t="s">
        <v>255</v>
      </c>
    </row>
    <row r="9" customFormat="false" ht="15" hidden="false" customHeight="false" outlineLevel="0" collapsed="false">
      <c r="A9" s="7" t="s">
        <v>256</v>
      </c>
      <c r="B9" s="23" t="s">
        <v>257</v>
      </c>
      <c r="C9" s="22" t="s">
        <v>258</v>
      </c>
      <c r="D9" s="78" t="s">
        <v>259</v>
      </c>
    </row>
    <row r="10" customFormat="false" ht="15" hidden="false" customHeight="false" outlineLevel="0" collapsed="false">
      <c r="A10" s="7" t="s">
        <v>260</v>
      </c>
      <c r="B10" s="23" t="s">
        <v>261</v>
      </c>
      <c r="C10" s="22" t="s">
        <v>262</v>
      </c>
      <c r="D10" s="79" t="s">
        <v>263</v>
      </c>
    </row>
    <row r="11" customFormat="false" ht="15" hidden="false" customHeight="false" outlineLevel="0" collapsed="false">
      <c r="A11" s="7" t="s">
        <v>264</v>
      </c>
      <c r="B11" s="23" t="s">
        <v>265</v>
      </c>
      <c r="C11" s="22" t="s">
        <v>266</v>
      </c>
      <c r="D11" s="80" t="s">
        <v>267</v>
      </c>
    </row>
    <row r="12" customFormat="false" ht="15" hidden="false" customHeight="false" outlineLevel="0" collapsed="false">
      <c r="A12" s="7" t="s">
        <v>268</v>
      </c>
      <c r="B12" s="23" t="s">
        <v>269</v>
      </c>
      <c r="C12" s="22" t="s">
        <v>270</v>
      </c>
      <c r="D12" s="80" t="s">
        <v>271</v>
      </c>
    </row>
    <row r="13" customFormat="false" ht="15" hidden="false" customHeight="false" outlineLevel="0" collapsed="false">
      <c r="A13" s="7" t="s">
        <v>272</v>
      </c>
      <c r="B13" s="23" t="s">
        <v>273</v>
      </c>
      <c r="C13" s="22" t="s">
        <v>250</v>
      </c>
      <c r="D13" s="80" t="s">
        <v>274</v>
      </c>
    </row>
    <row r="14" customFormat="false" ht="15" hidden="false" customHeight="false" outlineLevel="0" collapsed="false">
      <c r="A14" s="68" t="s">
        <v>275</v>
      </c>
      <c r="B14" s="38" t="s">
        <v>276</v>
      </c>
      <c r="C14" s="36" t="s">
        <v>277</v>
      </c>
      <c r="D14" s="81" t="s">
        <v>278</v>
      </c>
    </row>
    <row r="16" customFormat="false" ht="15" hidden="false" customHeight="false" outlineLevel="0" collapsed="false">
      <c r="A16" s="43" t="s">
        <v>279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customFormat="false" ht="15" hidden="false" customHeight="false" outlineLevel="0" collapsed="false">
      <c r="A17" s="82" t="s">
        <v>237</v>
      </c>
      <c r="B17" s="82" t="s">
        <v>174</v>
      </c>
      <c r="C17" s="82" t="s">
        <v>280</v>
      </c>
    </row>
    <row r="18" customFormat="false" ht="15" hidden="false" customHeight="false" outlineLevel="0" collapsed="false">
      <c r="A18" s="22" t="s">
        <v>281</v>
      </c>
      <c r="B18" s="47" t="n">
        <v>7.4</v>
      </c>
      <c r="C18" s="83" t="n">
        <v>14.7713567839196</v>
      </c>
    </row>
    <row r="19" customFormat="false" ht="15" hidden="false" customHeight="false" outlineLevel="0" collapsed="false">
      <c r="A19" s="22" t="s">
        <v>282</v>
      </c>
      <c r="B19" s="47" t="n">
        <v>8.51</v>
      </c>
      <c r="C19" s="83" t="n">
        <v>17.9368090452261</v>
      </c>
    </row>
    <row r="20" customFormat="false" ht="15" hidden="false" customHeight="false" outlineLevel="0" collapsed="false">
      <c r="A20" s="64" t="s">
        <v>283</v>
      </c>
      <c r="B20" s="84" t="n">
        <v>8.51</v>
      </c>
      <c r="C20" s="65" t="n">
        <v>17.9368090452261</v>
      </c>
      <c r="D20" s="49"/>
    </row>
    <row r="21" customFormat="false" ht="15" hidden="false" customHeight="false" outlineLevel="0" collapsed="false">
      <c r="A21" s="7" t="s">
        <v>284</v>
      </c>
      <c r="C21" s="66" t="n">
        <v>-0.108508496758145</v>
      </c>
    </row>
    <row r="23" customFormat="false" ht="15" hidden="false" customHeight="false" outlineLevel="0" collapsed="false">
      <c r="A23" s="7" t="s">
        <v>285</v>
      </c>
    </row>
    <row r="24" customFormat="false" ht="15" hidden="false" customHeight="false" outlineLevel="0" collapsed="false">
      <c r="A24" s="22" t="s">
        <v>286</v>
      </c>
    </row>
    <row r="25" customFormat="false" ht="15" hidden="false" customHeight="false" outlineLevel="0" collapsed="false">
      <c r="A25" s="7" t="s">
        <v>287</v>
      </c>
    </row>
    <row r="27" customFormat="false" ht="15" hidden="false" customHeight="false" outlineLevel="0" collapsed="false">
      <c r="A27" s="51" t="s">
        <v>131</v>
      </c>
    </row>
    <row r="28" customFormat="false" ht="15" hidden="false" customHeight="false" outlineLevel="0" collapsed="false">
      <c r="A28" s="5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2026-03-15T17:28:48Z</dcterms:created>
  <dc:creator>openpyxl</dc:creator>
  <dc:description/>
  <dc:language>en-US</dc:language>
  <cp:lastModifiedBy/>
  <dcterms:modified xsi:type="dcterms:W3CDTF">2026-03-15T17:28:48Z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